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ke\Dropbox\LT_Impact_Prospera_New\FinalEJSubmission\Revisions_ReplicationPackageMay22023\3 replication package\Results\"/>
    </mc:Choice>
  </mc:AlternateContent>
  <xr:revisionPtr revIDLastSave="0" documentId="8_{355CE6DE-64D4-4153-8621-DB5E58F232E8}" xr6:coauthVersionLast="47" xr6:coauthVersionMax="47" xr10:uidLastSave="{00000000-0000-0000-0000-000000000000}"/>
  <bookViews>
    <workbookView xWindow="12" yWindow="732" windowWidth="23028" windowHeight="13668" activeTab="1" xr2:uid="{00000000-000D-0000-FFFF-FFFF00000000}"/>
  </bookViews>
  <sheets>
    <sheet name="within-family" sheetId="1" r:id="rId1"/>
    <sheet name="overal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3" l="1"/>
  <c r="B23" i="3"/>
  <c r="C23" i="3" s="1"/>
  <c r="L13" i="3"/>
  <c r="K13" i="3"/>
  <c r="I13" i="3"/>
  <c r="C13" i="3"/>
  <c r="B13" i="3"/>
  <c r="D12" i="3"/>
  <c r="E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P13" i="3" s="1"/>
  <c r="C12" i="3"/>
  <c r="S24" i="1"/>
  <c r="R24" i="1"/>
  <c r="Q24" i="1"/>
  <c r="P24" i="1"/>
  <c r="N24" i="1"/>
  <c r="M24" i="1"/>
  <c r="L24" i="1"/>
  <c r="J24" i="1"/>
  <c r="I24" i="1"/>
  <c r="H24" i="1"/>
  <c r="G24" i="1"/>
  <c r="E24" i="1"/>
  <c r="D24" i="1"/>
  <c r="C24" i="1"/>
  <c r="B24" i="1"/>
  <c r="S13" i="1"/>
  <c r="R13" i="1"/>
  <c r="Q13" i="1"/>
  <c r="P13" i="1"/>
  <c r="N13" i="1"/>
  <c r="M13" i="1"/>
  <c r="L13" i="1"/>
  <c r="J13" i="1"/>
  <c r="I13" i="1"/>
  <c r="H13" i="1"/>
  <c r="G13" i="1"/>
  <c r="D13" i="1"/>
  <c r="C13" i="1"/>
  <c r="E13" i="1"/>
  <c r="B13" i="1"/>
  <c r="D13" i="3" l="1"/>
  <c r="E13" i="3"/>
  <c r="F13" i="3"/>
  <c r="G13" i="3"/>
  <c r="H13" i="3"/>
  <c r="J13" i="3"/>
  <c r="M13" i="3"/>
  <c r="N13" i="3"/>
  <c r="O13" i="3"/>
  <c r="D23" i="3"/>
  <c r="C24" i="3"/>
  <c r="E23" i="3" l="1"/>
  <c r="D24" i="3"/>
  <c r="F23" i="3" l="1"/>
  <c r="E24" i="3"/>
  <c r="F24" i="3" l="1"/>
  <c r="G23" i="3"/>
  <c r="G24" i="3" l="1"/>
  <c r="H23" i="3"/>
  <c r="I23" i="3" l="1"/>
  <c r="H24" i="3"/>
  <c r="I24" i="3" l="1"/>
  <c r="J23" i="3"/>
  <c r="K23" i="3" l="1"/>
  <c r="J24" i="3"/>
  <c r="L23" i="3" l="1"/>
  <c r="K24" i="3"/>
  <c r="M23" i="3" l="1"/>
  <c r="L24" i="3"/>
  <c r="N23" i="3" l="1"/>
  <c r="M24" i="3"/>
  <c r="N24" i="3" l="1"/>
  <c r="O23" i="3"/>
  <c r="O24" i="3" l="1"/>
  <c r="P23" i="3"/>
  <c r="P24" i="3" s="1"/>
</calcChain>
</file>

<file path=xl/sharedStrings.xml><?xml version="1.0" encoding="utf-8"?>
<sst xmlns="http://schemas.openxmlformats.org/spreadsheetml/2006/main" count="180" uniqueCount="73">
  <si>
    <t>VARIABLES</t>
  </si>
  <si>
    <t>years</t>
  </si>
  <si>
    <t>some_sec</t>
  </si>
  <si>
    <t>some_prep</t>
  </si>
  <si>
    <t>some_college</t>
  </si>
  <si>
    <t>trabajo</t>
  </si>
  <si>
    <t>wage</t>
  </si>
  <si>
    <t>sector_agric</t>
  </si>
  <si>
    <t>ingtrmen</t>
  </si>
  <si>
    <t>housing_std</t>
  </si>
  <si>
    <t>durable_std</t>
  </si>
  <si>
    <t>inc_pc_hh</t>
  </si>
  <si>
    <t>mig5muni</t>
  </si>
  <si>
    <t>mig5edo</t>
  </si>
  <si>
    <t>mig5intra</t>
  </si>
  <si>
    <t>urbanres</t>
  </si>
  <si>
    <t>prop9799_post</t>
  </si>
  <si>
    <t>[0.315]*</t>
  </si>
  <si>
    <t>[0.043]***</t>
  </si>
  <si>
    <t>[0.038]</t>
  </si>
  <si>
    <t>[0.024]</t>
  </si>
  <si>
    <t>[0.030]</t>
  </si>
  <si>
    <t>[0.042]</t>
  </si>
  <si>
    <t>[0.035]</t>
  </si>
  <si>
    <t>[260.533]</t>
  </si>
  <si>
    <t>[0.103]*</t>
  </si>
  <si>
    <t>[0.097]</t>
  </si>
  <si>
    <t>[147.679]</t>
  </si>
  <si>
    <t>[0.039]***</t>
  </si>
  <si>
    <t>[0.041]*</t>
  </si>
  <si>
    <t>[0.036]**</t>
  </si>
  <si>
    <t>[0.018]</t>
  </si>
  <si>
    <t>[0.043]*</t>
  </si>
  <si>
    <t>Observations</t>
  </si>
  <si>
    <t>P-value</t>
  </si>
  <si>
    <t>Within-family q-Value</t>
  </si>
  <si>
    <t>Men</t>
  </si>
  <si>
    <t>Within-family q-value</t>
  </si>
  <si>
    <t>[0.016]</t>
  </si>
  <si>
    <t>[0.033]</t>
  </si>
  <si>
    <t>[0.029]**</t>
  </si>
  <si>
    <t>[0.026]**</t>
  </si>
  <si>
    <t>[94.262]</t>
  </si>
  <si>
    <t>[0.062]**</t>
  </si>
  <si>
    <t>[0.072]***</t>
  </si>
  <si>
    <t>[0.009]</t>
  </si>
  <si>
    <t>[138.658]*</t>
  </si>
  <si>
    <t>[0.027]***</t>
  </si>
  <si>
    <t>[0.031]***</t>
  </si>
  <si>
    <t>[0.020]</t>
  </si>
  <si>
    <t>[0.309]***</t>
  </si>
  <si>
    <t>[0.032]***</t>
  </si>
  <si>
    <t>Women</t>
  </si>
  <si>
    <t>Computes Benjamini and Hockerg q-values within each family of outcomes. Uses estimtes of the most demanding specification, with muni marg percentile dummies and locality marg percentile shares.</t>
  </si>
  <si>
    <t>Bold indicates that the q-value is over 0.05 but the p-value is under 0.05.</t>
  </si>
  <si>
    <t>Computes Benjamini and Hockerg q-values across all main outcomes. Uses estimtes of the most demanding specification, with muni marg percentile dummies and locality marg percentile shares.</t>
  </si>
  <si>
    <t>Overall q-value</t>
  </si>
  <si>
    <t>Rank</t>
  </si>
  <si>
    <t>At least some middle</t>
  </si>
  <si>
    <t>Grades completed</t>
  </si>
  <si>
    <t>At least some high</t>
  </si>
  <si>
    <t>At least some university</t>
  </si>
  <si>
    <t>Working in agriculture</t>
  </si>
  <si>
    <t>Working for a wage</t>
  </si>
  <si>
    <t>Monthly earnings</t>
  </si>
  <si>
    <t>Working</t>
  </si>
  <si>
    <t>Housing index</t>
  </si>
  <si>
    <t>Durable goods indez</t>
  </si>
  <si>
    <t>HH monthly earnings p.c.</t>
  </si>
  <si>
    <t>Cross-state migration</t>
  </si>
  <si>
    <t>Urban residence</t>
  </si>
  <si>
    <t>Cross-muni migration</t>
  </si>
  <si>
    <t>Intra-state 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</si>
</sst>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3" fontId="0" fillId="0" borderId="0" xfId="0" applyNumberFormat="1"/>
    <xf numFmtId="11" fontId="0" fillId="0" borderId="0" xfId="0" applyNumberFormat="1"/>
    <xf numFmtId="0" fontId="16" fillId="0" borderId="0" xfId="0" applyFont="1"/>
    <xf numFmtId="164" fontId="0" fillId="0" borderId="0" xfId="0" applyNumberFormat="1"/>
    <xf numFmtId="164" fontId="16" fillId="0" borderId="0" xfId="0" applyNumberFormat="1" applyFon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zoomScale="103" workbookViewId="0">
      <selection activeCell="D14" sqref="D14"/>
    </sheetView>
  </sheetViews>
  <sheetFormatPr defaultColWidth="10.796875" defaultRowHeight="15.6" x14ac:dyDescent="0.6"/>
  <sheetData>
    <row r="1" spans="1:19" x14ac:dyDescent="0.6">
      <c r="A1" t="s">
        <v>53</v>
      </c>
    </row>
    <row r="2" spans="1:19" x14ac:dyDescent="0.6">
      <c r="A2" t="s">
        <v>54</v>
      </c>
    </row>
    <row r="4" spans="1:19" x14ac:dyDescent="0.6">
      <c r="A4" t="s">
        <v>36</v>
      </c>
    </row>
    <row r="5" spans="1:19" x14ac:dyDescent="0.6">
      <c r="B5" t="s">
        <v>2</v>
      </c>
      <c r="C5" t="s">
        <v>1</v>
      </c>
      <c r="D5" t="s">
        <v>3</v>
      </c>
      <c r="E5" t="s">
        <v>4</v>
      </c>
      <c r="G5" t="s">
        <v>7</v>
      </c>
      <c r="H5" t="s">
        <v>6</v>
      </c>
      <c r="I5" t="s">
        <v>5</v>
      </c>
      <c r="J5" t="s">
        <v>8</v>
      </c>
      <c r="L5" t="s">
        <v>9</v>
      </c>
      <c r="M5" t="s">
        <v>10</v>
      </c>
      <c r="N5" t="s">
        <v>11</v>
      </c>
      <c r="P5" t="s">
        <v>13</v>
      </c>
      <c r="Q5" t="s">
        <v>15</v>
      </c>
      <c r="R5" t="s">
        <v>12</v>
      </c>
      <c r="S5" t="s">
        <v>14</v>
      </c>
    </row>
    <row r="7" spans="1:19" x14ac:dyDescent="0.6">
      <c r="A7" t="s">
        <v>16</v>
      </c>
      <c r="B7">
        <v>0.13</v>
      </c>
      <c r="C7">
        <v>0.59599999999999997</v>
      </c>
      <c r="D7">
        <v>3.4000000000000002E-2</v>
      </c>
      <c r="E7">
        <v>1.6E-2</v>
      </c>
      <c r="G7">
        <v>-0.05</v>
      </c>
      <c r="H7">
        <v>5.8999999999999997E-2</v>
      </c>
      <c r="I7">
        <v>1E-3</v>
      </c>
      <c r="J7">
        <v>268.32100000000003</v>
      </c>
      <c r="L7">
        <v>0.19900000000000001</v>
      </c>
      <c r="M7">
        <v>0.05</v>
      </c>
      <c r="N7">
        <v>33.701999999999998</v>
      </c>
      <c r="P7">
        <v>7.3999999999999996E-2</v>
      </c>
      <c r="Q7">
        <v>7.6999999999999999E-2</v>
      </c>
      <c r="R7">
        <v>7.1999999999999995E-2</v>
      </c>
      <c r="S7">
        <v>-2E-3</v>
      </c>
    </row>
    <row r="8" spans="1:19" x14ac:dyDescent="0.6">
      <c r="B8" t="s">
        <v>18</v>
      </c>
      <c r="C8" t="s">
        <v>17</v>
      </c>
      <c r="D8" t="s">
        <v>19</v>
      </c>
      <c r="E8" t="s">
        <v>20</v>
      </c>
      <c r="G8" t="s">
        <v>23</v>
      </c>
      <c r="H8" t="s">
        <v>22</v>
      </c>
      <c r="I8" t="s">
        <v>21</v>
      </c>
      <c r="J8" t="s">
        <v>24</v>
      </c>
      <c r="L8" t="s">
        <v>25</v>
      </c>
      <c r="M8" t="s">
        <v>26</v>
      </c>
      <c r="N8" t="s">
        <v>27</v>
      </c>
      <c r="P8" t="s">
        <v>30</v>
      </c>
      <c r="Q8" t="s">
        <v>32</v>
      </c>
      <c r="R8" t="s">
        <v>29</v>
      </c>
      <c r="S8" t="s">
        <v>31</v>
      </c>
    </row>
    <row r="10" spans="1:19" x14ac:dyDescent="0.6">
      <c r="A10" t="s">
        <v>33</v>
      </c>
      <c r="B10" s="1">
        <v>299906</v>
      </c>
      <c r="C10" s="1">
        <v>299237</v>
      </c>
      <c r="D10" s="1">
        <v>299906</v>
      </c>
      <c r="E10" s="1">
        <v>299906</v>
      </c>
      <c r="F10" s="1"/>
      <c r="G10" s="1">
        <v>297315</v>
      </c>
      <c r="H10" s="1">
        <v>293165</v>
      </c>
      <c r="I10" s="1">
        <v>299515</v>
      </c>
      <c r="J10" s="1">
        <v>288431</v>
      </c>
      <c r="K10" s="1"/>
      <c r="L10" s="1">
        <v>294969</v>
      </c>
      <c r="M10" s="1">
        <v>295927</v>
      </c>
      <c r="N10" s="1">
        <v>292360</v>
      </c>
      <c r="O10" s="1"/>
      <c r="P10" s="1">
        <v>301140</v>
      </c>
      <c r="Q10" s="1">
        <v>301140</v>
      </c>
      <c r="R10" s="1">
        <v>301140</v>
      </c>
      <c r="S10" s="1">
        <v>301140</v>
      </c>
    </row>
    <row r="11" spans="1:19" x14ac:dyDescent="0.6">
      <c r="A11" t="s">
        <v>34</v>
      </c>
      <c r="B11">
        <v>2.33E-3</v>
      </c>
      <c r="C11">
        <v>5.8500000000000003E-2</v>
      </c>
      <c r="D11">
        <v>0.36899999999999999</v>
      </c>
      <c r="E11">
        <v>0.497</v>
      </c>
      <c r="G11">
        <v>0.152</v>
      </c>
      <c r="H11">
        <v>0.153</v>
      </c>
      <c r="I11">
        <v>0.96799999999999997</v>
      </c>
      <c r="J11">
        <v>0.30299999999999999</v>
      </c>
      <c r="L11">
        <v>5.3199999999999997E-2</v>
      </c>
      <c r="M11">
        <v>0.60499999999999998</v>
      </c>
      <c r="N11">
        <v>0.82</v>
      </c>
      <c r="P11" s="3">
        <v>3.8100000000000002E-2</v>
      </c>
      <c r="Q11">
        <v>7.3800000000000004E-2</v>
      </c>
      <c r="R11">
        <v>7.5899999999999995E-2</v>
      </c>
      <c r="S11">
        <v>0.89200000000000002</v>
      </c>
    </row>
    <row r="12" spans="1:19" x14ac:dyDescent="0.6">
      <c r="P12" s="3"/>
    </row>
    <row r="13" spans="1:19" x14ac:dyDescent="0.6">
      <c r="A13" t="s">
        <v>35</v>
      </c>
      <c r="B13">
        <f>B11*4</f>
        <v>9.3200000000000002E-3</v>
      </c>
      <c r="C13">
        <f>C11*4/2</f>
        <v>0.11700000000000001</v>
      </c>
      <c r="D13">
        <f>D11*4/3</f>
        <v>0.49199999999999999</v>
      </c>
      <c r="E13">
        <f>E11*4</f>
        <v>1.988</v>
      </c>
      <c r="G13">
        <f>G11*4</f>
        <v>0.60799999999999998</v>
      </c>
      <c r="H13">
        <f>H11*4/2</f>
        <v>0.30599999999999999</v>
      </c>
      <c r="I13">
        <f>I11*4/3</f>
        <v>1.2906666666666666</v>
      </c>
      <c r="J13">
        <f>J11*4</f>
        <v>1.212</v>
      </c>
      <c r="L13">
        <f>L11*3</f>
        <v>0.15959999999999999</v>
      </c>
      <c r="M13">
        <f>M11*3/2</f>
        <v>0.90749999999999997</v>
      </c>
      <c r="N13">
        <f>N11</f>
        <v>0.82</v>
      </c>
      <c r="P13" s="3">
        <f>P11*4</f>
        <v>0.15240000000000001</v>
      </c>
      <c r="Q13">
        <f>Q11*4/2</f>
        <v>0.14760000000000001</v>
      </c>
      <c r="R13">
        <f>R11*4/3</f>
        <v>0.1012</v>
      </c>
      <c r="S13">
        <f>S11*4</f>
        <v>3.5680000000000001</v>
      </c>
    </row>
    <row r="15" spans="1:19" x14ac:dyDescent="0.6">
      <c r="A15" t="s">
        <v>52</v>
      </c>
    </row>
    <row r="16" spans="1:19" x14ac:dyDescent="0.6">
      <c r="A16" t="s">
        <v>0</v>
      </c>
      <c r="B16" t="s">
        <v>2</v>
      </c>
      <c r="C16" t="s">
        <v>3</v>
      </c>
      <c r="D16" t="s">
        <v>1</v>
      </c>
      <c r="E16" t="s">
        <v>4</v>
      </c>
      <c r="G16" t="s">
        <v>5</v>
      </c>
      <c r="H16" t="s">
        <v>6</v>
      </c>
      <c r="I16" t="s">
        <v>8</v>
      </c>
      <c r="J16" t="s">
        <v>7</v>
      </c>
      <c r="L16" t="s">
        <v>9</v>
      </c>
      <c r="M16" t="s">
        <v>10</v>
      </c>
      <c r="N16" t="s">
        <v>11</v>
      </c>
      <c r="P16" t="s">
        <v>13</v>
      </c>
      <c r="Q16" t="s">
        <v>12</v>
      </c>
      <c r="R16" t="s">
        <v>15</v>
      </c>
      <c r="S16" t="s">
        <v>14</v>
      </c>
    </row>
    <row r="18" spans="1:19" x14ac:dyDescent="0.6">
      <c r="A18" t="s">
        <v>16</v>
      </c>
      <c r="B18">
        <v>0.22500000000000001</v>
      </c>
      <c r="C18">
        <v>0.16900000000000001</v>
      </c>
      <c r="D18">
        <v>1.032</v>
      </c>
      <c r="E18">
        <v>1.7000000000000001E-2</v>
      </c>
      <c r="G18">
        <v>9.2999999999999999E-2</v>
      </c>
      <c r="H18">
        <v>7.2999999999999995E-2</v>
      </c>
      <c r="I18">
        <v>255.434</v>
      </c>
      <c r="J18">
        <v>8.9999999999999993E-3</v>
      </c>
      <c r="L18">
        <v>0.187</v>
      </c>
      <c r="M18">
        <v>0.14599999999999999</v>
      </c>
      <c r="N18">
        <v>71.346000000000004</v>
      </c>
      <c r="P18">
        <v>6.3E-2</v>
      </c>
      <c r="Q18">
        <v>6.2E-2</v>
      </c>
      <c r="R18">
        <v>4.3999999999999997E-2</v>
      </c>
      <c r="S18">
        <v>-1E-3</v>
      </c>
    </row>
    <row r="19" spans="1:19" x14ac:dyDescent="0.6">
      <c r="B19" t="s">
        <v>28</v>
      </c>
      <c r="C19" t="s">
        <v>51</v>
      </c>
      <c r="D19" t="s">
        <v>50</v>
      </c>
      <c r="E19" t="s">
        <v>49</v>
      </c>
      <c r="G19" t="s">
        <v>48</v>
      </c>
      <c r="H19" t="s">
        <v>47</v>
      </c>
      <c r="I19" t="s">
        <v>46</v>
      </c>
      <c r="J19" t="s">
        <v>45</v>
      </c>
      <c r="L19" t="s">
        <v>44</v>
      </c>
      <c r="M19" t="s">
        <v>43</v>
      </c>
      <c r="N19" t="s">
        <v>42</v>
      </c>
      <c r="P19" t="s">
        <v>41</v>
      </c>
      <c r="Q19" t="s">
        <v>40</v>
      </c>
      <c r="R19" t="s">
        <v>39</v>
      </c>
      <c r="S19" t="s">
        <v>38</v>
      </c>
    </row>
    <row r="21" spans="1:19" x14ac:dyDescent="0.6">
      <c r="A21" t="s">
        <v>33</v>
      </c>
      <c r="B21" s="1">
        <v>356801</v>
      </c>
      <c r="C21" s="1">
        <v>356801</v>
      </c>
      <c r="D21" s="1">
        <v>355986</v>
      </c>
      <c r="E21" s="1">
        <v>356801</v>
      </c>
      <c r="F21" s="1"/>
      <c r="G21" s="1">
        <v>357018</v>
      </c>
      <c r="H21" s="1">
        <v>354440</v>
      </c>
      <c r="I21" s="1">
        <v>354156</v>
      </c>
      <c r="J21" s="1">
        <v>355898</v>
      </c>
      <c r="K21" s="1"/>
      <c r="L21" s="1">
        <v>351077</v>
      </c>
      <c r="M21" s="1">
        <v>352337</v>
      </c>
      <c r="N21" s="1">
        <v>356100</v>
      </c>
      <c r="O21" s="1"/>
      <c r="P21" s="1">
        <v>358339</v>
      </c>
      <c r="Q21" s="1">
        <v>358339</v>
      </c>
      <c r="R21" s="1">
        <v>358339</v>
      </c>
      <c r="S21" s="1">
        <v>358339</v>
      </c>
    </row>
    <row r="22" spans="1:19" x14ac:dyDescent="0.6">
      <c r="A22" t="s">
        <v>34</v>
      </c>
      <c r="B22" s="2">
        <v>9.1700000000000004E-9</v>
      </c>
      <c r="C22" s="2">
        <v>1.37E-7</v>
      </c>
      <c r="D22">
        <v>8.7000000000000001E-4</v>
      </c>
      <c r="E22">
        <v>0.38800000000000001</v>
      </c>
      <c r="G22">
        <v>3.29E-3</v>
      </c>
      <c r="H22">
        <v>7.7999999999999996E-3</v>
      </c>
      <c r="I22">
        <v>6.5699999999999995E-2</v>
      </c>
      <c r="J22">
        <v>0.32800000000000001</v>
      </c>
      <c r="L22">
        <v>9.3600000000000003E-3</v>
      </c>
      <c r="M22">
        <v>1.9099999999999999E-2</v>
      </c>
      <c r="N22">
        <v>0.44900000000000001</v>
      </c>
      <c r="P22" s="3">
        <v>1.5900000000000001E-2</v>
      </c>
      <c r="Q22" s="3">
        <v>3.04E-2</v>
      </c>
      <c r="R22">
        <v>0.18</v>
      </c>
      <c r="S22">
        <v>0.94799999999999995</v>
      </c>
    </row>
    <row r="23" spans="1:19" x14ac:dyDescent="0.6">
      <c r="P23" s="3"/>
      <c r="Q23" s="3"/>
    </row>
    <row r="24" spans="1:19" x14ac:dyDescent="0.6">
      <c r="A24" t="s">
        <v>37</v>
      </c>
      <c r="B24">
        <f>B22*4</f>
        <v>3.6680000000000002E-8</v>
      </c>
      <c r="C24">
        <f>C22*4/2</f>
        <v>2.7399999999999999E-7</v>
      </c>
      <c r="D24">
        <f>D22*4/3</f>
        <v>1.16E-3</v>
      </c>
      <c r="E24">
        <f>E22*4</f>
        <v>1.552</v>
      </c>
      <c r="G24">
        <f>G22*4</f>
        <v>1.316E-2</v>
      </c>
      <c r="H24">
        <f>H22*4/2</f>
        <v>1.5599999999999999E-2</v>
      </c>
      <c r="I24">
        <f>I22*4/3</f>
        <v>8.7599999999999997E-2</v>
      </c>
      <c r="J24">
        <f>J22*4</f>
        <v>1.3120000000000001</v>
      </c>
      <c r="L24">
        <f>L22*3</f>
        <v>2.8080000000000001E-2</v>
      </c>
      <c r="M24">
        <f>M22*3/2</f>
        <v>2.8649999999999998E-2</v>
      </c>
      <c r="N24">
        <f>N22</f>
        <v>0.44900000000000001</v>
      </c>
      <c r="P24" s="3">
        <f>P22*4</f>
        <v>6.3600000000000004E-2</v>
      </c>
      <c r="Q24" s="3">
        <f>Q22*4/2</f>
        <v>6.08E-2</v>
      </c>
      <c r="R24">
        <f>R22*4/3</f>
        <v>0.24</v>
      </c>
      <c r="S24">
        <f>S22*4</f>
        <v>3.7919999999999998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"/>
  <sheetViews>
    <sheetView tabSelected="1" topLeftCell="A19" zoomScale="103" workbookViewId="0">
      <selection activeCell="B31" sqref="B31"/>
    </sheetView>
  </sheetViews>
  <sheetFormatPr defaultColWidth="10.796875" defaultRowHeight="15.6" x14ac:dyDescent="0.6"/>
  <sheetData>
    <row r="1" spans="1:16" x14ac:dyDescent="0.6">
      <c r="A1" t="s">
        <v>55</v>
      </c>
    </row>
    <row r="2" spans="1:16" x14ac:dyDescent="0.6">
      <c r="A2" t="s">
        <v>54</v>
      </c>
    </row>
    <row r="4" spans="1:16" x14ac:dyDescent="0.6">
      <c r="A4" t="s">
        <v>36</v>
      </c>
    </row>
    <row r="5" spans="1:16" x14ac:dyDescent="0.6">
      <c r="B5" t="s">
        <v>2</v>
      </c>
      <c r="C5" t="s">
        <v>13</v>
      </c>
      <c r="D5" t="s">
        <v>9</v>
      </c>
      <c r="E5" t="s">
        <v>1</v>
      </c>
      <c r="F5" t="s">
        <v>15</v>
      </c>
      <c r="G5" t="s">
        <v>12</v>
      </c>
      <c r="H5" t="s">
        <v>7</v>
      </c>
      <c r="I5" t="s">
        <v>6</v>
      </c>
      <c r="J5" t="s">
        <v>3</v>
      </c>
      <c r="K5" t="s">
        <v>4</v>
      </c>
      <c r="L5" t="s">
        <v>8</v>
      </c>
      <c r="M5" t="s">
        <v>10</v>
      </c>
      <c r="N5" t="s">
        <v>11</v>
      </c>
      <c r="O5" t="s">
        <v>14</v>
      </c>
      <c r="P5" t="s">
        <v>5</v>
      </c>
    </row>
    <row r="7" spans="1:16" x14ac:dyDescent="0.6">
      <c r="A7" t="s">
        <v>16</v>
      </c>
      <c r="B7">
        <v>0.13</v>
      </c>
      <c r="C7">
        <v>7.3999999999999996E-2</v>
      </c>
      <c r="D7">
        <v>0.19900000000000001</v>
      </c>
      <c r="E7">
        <v>0.59599999999999997</v>
      </c>
      <c r="F7">
        <v>7.6999999999999999E-2</v>
      </c>
      <c r="G7">
        <v>7.1999999999999995E-2</v>
      </c>
      <c r="H7">
        <v>-0.05</v>
      </c>
      <c r="I7">
        <v>5.8999999999999997E-2</v>
      </c>
      <c r="J7">
        <v>3.4000000000000002E-2</v>
      </c>
      <c r="K7">
        <v>1.6E-2</v>
      </c>
      <c r="L7">
        <v>268.32100000000003</v>
      </c>
      <c r="M7">
        <v>0.05</v>
      </c>
      <c r="N7">
        <v>33.701999999999998</v>
      </c>
      <c r="O7">
        <v>-2E-3</v>
      </c>
      <c r="P7">
        <v>1E-3</v>
      </c>
    </row>
    <row r="8" spans="1:16" x14ac:dyDescent="0.6">
      <c r="B8" t="s">
        <v>18</v>
      </c>
      <c r="C8" t="s">
        <v>30</v>
      </c>
      <c r="D8" t="s">
        <v>25</v>
      </c>
      <c r="E8" t="s">
        <v>17</v>
      </c>
      <c r="F8" t="s">
        <v>32</v>
      </c>
      <c r="G8" t="s">
        <v>29</v>
      </c>
      <c r="H8" t="s">
        <v>23</v>
      </c>
      <c r="I8" t="s">
        <v>22</v>
      </c>
      <c r="J8" t="s">
        <v>19</v>
      </c>
      <c r="K8" t="s">
        <v>20</v>
      </c>
      <c r="L8" t="s">
        <v>24</v>
      </c>
      <c r="M8" t="s">
        <v>26</v>
      </c>
      <c r="N8" t="s">
        <v>27</v>
      </c>
      <c r="O8" t="s">
        <v>31</v>
      </c>
      <c r="P8" t="s">
        <v>21</v>
      </c>
    </row>
    <row r="10" spans="1:16" x14ac:dyDescent="0.6">
      <c r="A10" t="s">
        <v>33</v>
      </c>
      <c r="B10" s="1">
        <v>299906</v>
      </c>
      <c r="C10" s="1">
        <v>301140</v>
      </c>
      <c r="D10" s="1">
        <v>294969</v>
      </c>
      <c r="E10" s="1">
        <v>299237</v>
      </c>
      <c r="F10" s="1">
        <v>301140</v>
      </c>
      <c r="G10" s="1">
        <v>301140</v>
      </c>
      <c r="H10" s="1">
        <v>297315</v>
      </c>
      <c r="I10" s="1">
        <v>293165</v>
      </c>
      <c r="J10" s="1">
        <v>299906</v>
      </c>
      <c r="K10" s="1">
        <v>299906</v>
      </c>
      <c r="L10" s="1">
        <v>288431</v>
      </c>
      <c r="M10" s="1">
        <v>295927</v>
      </c>
      <c r="N10" s="1">
        <v>292360</v>
      </c>
      <c r="O10" s="1">
        <v>301140</v>
      </c>
      <c r="P10" s="1">
        <v>299515</v>
      </c>
    </row>
    <row r="11" spans="1:16" x14ac:dyDescent="0.6">
      <c r="A11" t="s">
        <v>34</v>
      </c>
      <c r="B11">
        <v>2.33E-3</v>
      </c>
      <c r="C11" s="3">
        <v>3.8100000000000002E-2</v>
      </c>
      <c r="D11">
        <v>5.3199999999999997E-2</v>
      </c>
      <c r="E11">
        <v>5.8500000000000003E-2</v>
      </c>
      <c r="F11">
        <v>7.3800000000000004E-2</v>
      </c>
      <c r="G11">
        <v>7.5899999999999995E-2</v>
      </c>
      <c r="H11">
        <v>0.152</v>
      </c>
      <c r="I11">
        <v>0.153</v>
      </c>
      <c r="J11">
        <v>0.36899999999999999</v>
      </c>
      <c r="K11">
        <v>0.497</v>
      </c>
      <c r="L11">
        <v>0.30299999999999999</v>
      </c>
      <c r="M11">
        <v>0.60499999999999998</v>
      </c>
      <c r="N11">
        <v>0.82</v>
      </c>
      <c r="O11">
        <v>0.89200000000000002</v>
      </c>
      <c r="P11">
        <v>0.96799999999999997</v>
      </c>
    </row>
    <row r="12" spans="1:16" x14ac:dyDescent="0.6">
      <c r="A12" t="s">
        <v>57</v>
      </c>
      <c r="B12">
        <v>1</v>
      </c>
      <c r="C12" s="3">
        <f>B12+1</f>
        <v>2</v>
      </c>
      <c r="D12">
        <f t="shared" ref="D12:P12" si="0">C12+1</f>
        <v>3</v>
      </c>
      <c r="E12">
        <f t="shared" si="0"/>
        <v>4</v>
      </c>
      <c r="F12">
        <f t="shared" si="0"/>
        <v>5</v>
      </c>
      <c r="G12">
        <f t="shared" si="0"/>
        <v>6</v>
      </c>
      <c r="H12">
        <f t="shared" si="0"/>
        <v>7</v>
      </c>
      <c r="I12">
        <f t="shared" si="0"/>
        <v>8</v>
      </c>
      <c r="J12">
        <f t="shared" si="0"/>
        <v>9</v>
      </c>
      <c r="K12">
        <f t="shared" si="0"/>
        <v>10</v>
      </c>
      <c r="L12">
        <f t="shared" si="0"/>
        <v>11</v>
      </c>
      <c r="M12">
        <f t="shared" si="0"/>
        <v>12</v>
      </c>
      <c r="N12">
        <f t="shared" si="0"/>
        <v>13</v>
      </c>
      <c r="O12">
        <f t="shared" si="0"/>
        <v>14</v>
      </c>
      <c r="P12">
        <f t="shared" si="0"/>
        <v>15</v>
      </c>
    </row>
    <row r="13" spans="1:16" x14ac:dyDescent="0.6">
      <c r="A13" t="s">
        <v>56</v>
      </c>
      <c r="B13">
        <f>B11*15/B12</f>
        <v>3.4950000000000002E-2</v>
      </c>
      <c r="C13" s="3">
        <f t="shared" ref="C13:P13" si="1">C11*15/C12</f>
        <v>0.28575</v>
      </c>
      <c r="D13">
        <f t="shared" si="1"/>
        <v>0.26599999999999996</v>
      </c>
      <c r="E13">
        <f t="shared" si="1"/>
        <v>0.21937500000000001</v>
      </c>
      <c r="F13">
        <f t="shared" si="1"/>
        <v>0.22139999999999999</v>
      </c>
      <c r="G13">
        <f t="shared" si="1"/>
        <v>0.18974999999999997</v>
      </c>
      <c r="H13">
        <f t="shared" si="1"/>
        <v>0.32571428571428568</v>
      </c>
      <c r="I13">
        <f t="shared" si="1"/>
        <v>0.28687499999999999</v>
      </c>
      <c r="J13">
        <f t="shared" si="1"/>
        <v>0.61499999999999999</v>
      </c>
      <c r="K13">
        <f t="shared" si="1"/>
        <v>0.74550000000000005</v>
      </c>
      <c r="L13">
        <f t="shared" si="1"/>
        <v>0.41318181818181815</v>
      </c>
      <c r="M13">
        <f t="shared" si="1"/>
        <v>0.75624999999999998</v>
      </c>
      <c r="N13">
        <f t="shared" si="1"/>
        <v>0.94615384615384612</v>
      </c>
      <c r="O13">
        <f t="shared" si="1"/>
        <v>0.95571428571428574</v>
      </c>
      <c r="P13">
        <f t="shared" si="1"/>
        <v>0.96799999999999997</v>
      </c>
    </row>
    <row r="15" spans="1:16" x14ac:dyDescent="0.6">
      <c r="A15" t="s">
        <v>52</v>
      </c>
    </row>
    <row r="16" spans="1:16" x14ac:dyDescent="0.6">
      <c r="A16" t="s">
        <v>0</v>
      </c>
      <c r="B16" t="s">
        <v>2</v>
      </c>
      <c r="C16" t="s">
        <v>3</v>
      </c>
      <c r="D16" t="s">
        <v>1</v>
      </c>
      <c r="E16" t="s">
        <v>5</v>
      </c>
      <c r="F16" t="s">
        <v>6</v>
      </c>
      <c r="G16" t="s">
        <v>9</v>
      </c>
      <c r="H16" t="s">
        <v>13</v>
      </c>
      <c r="I16" t="s">
        <v>10</v>
      </c>
      <c r="J16" t="s">
        <v>12</v>
      </c>
      <c r="K16" t="s">
        <v>8</v>
      </c>
      <c r="L16" t="s">
        <v>15</v>
      </c>
      <c r="M16" t="s">
        <v>7</v>
      </c>
      <c r="N16" t="s">
        <v>4</v>
      </c>
      <c r="O16" t="s">
        <v>11</v>
      </c>
      <c r="P16" t="s">
        <v>14</v>
      </c>
    </row>
    <row r="18" spans="1:16" x14ac:dyDescent="0.6">
      <c r="A18" t="s">
        <v>16</v>
      </c>
      <c r="B18">
        <v>0.22500000000000001</v>
      </c>
      <c r="C18">
        <v>0.16900000000000001</v>
      </c>
      <c r="D18">
        <v>1.032</v>
      </c>
      <c r="E18">
        <v>9.2999999999999999E-2</v>
      </c>
      <c r="F18">
        <v>7.2999999999999995E-2</v>
      </c>
      <c r="G18">
        <v>0.187</v>
      </c>
      <c r="H18">
        <v>6.3E-2</v>
      </c>
      <c r="I18">
        <v>0.14599999999999999</v>
      </c>
      <c r="J18">
        <v>6.2E-2</v>
      </c>
      <c r="K18">
        <v>255.434</v>
      </c>
      <c r="L18">
        <v>4.3999999999999997E-2</v>
      </c>
      <c r="M18">
        <v>8.9999999999999993E-3</v>
      </c>
      <c r="N18">
        <v>1.7000000000000001E-2</v>
      </c>
      <c r="O18">
        <v>71.346000000000004</v>
      </c>
      <c r="P18">
        <v>-1E-3</v>
      </c>
    </row>
    <row r="19" spans="1:16" x14ac:dyDescent="0.6">
      <c r="B19" t="s">
        <v>28</v>
      </c>
      <c r="C19" t="s">
        <v>51</v>
      </c>
      <c r="D19" t="s">
        <v>50</v>
      </c>
      <c r="E19" t="s">
        <v>48</v>
      </c>
      <c r="F19" t="s">
        <v>47</v>
      </c>
      <c r="G19" t="s">
        <v>44</v>
      </c>
      <c r="H19" t="s">
        <v>41</v>
      </c>
      <c r="I19" t="s">
        <v>43</v>
      </c>
      <c r="J19" t="s">
        <v>40</v>
      </c>
      <c r="K19" t="s">
        <v>46</v>
      </c>
      <c r="L19" t="s">
        <v>39</v>
      </c>
      <c r="M19" t="s">
        <v>45</v>
      </c>
      <c r="N19" t="s">
        <v>49</v>
      </c>
      <c r="O19" t="s">
        <v>42</v>
      </c>
      <c r="P19" t="s">
        <v>38</v>
      </c>
    </row>
    <row r="21" spans="1:16" x14ac:dyDescent="0.6">
      <c r="A21" t="s">
        <v>33</v>
      </c>
      <c r="B21" s="1">
        <v>356801</v>
      </c>
      <c r="C21" s="1">
        <v>356801</v>
      </c>
      <c r="D21" s="1">
        <v>355986</v>
      </c>
      <c r="E21" s="1">
        <v>357018</v>
      </c>
      <c r="F21" s="1">
        <v>354440</v>
      </c>
      <c r="G21" s="1">
        <v>351077</v>
      </c>
      <c r="H21" s="1">
        <v>358339</v>
      </c>
      <c r="I21" s="1">
        <v>352337</v>
      </c>
      <c r="J21" s="1">
        <v>358339</v>
      </c>
      <c r="K21" s="1">
        <v>354156</v>
      </c>
      <c r="L21" s="1">
        <v>358339</v>
      </c>
      <c r="M21" s="1">
        <v>355898</v>
      </c>
      <c r="N21" s="1">
        <v>356801</v>
      </c>
      <c r="O21" s="1">
        <v>356100</v>
      </c>
      <c r="P21" s="1">
        <v>358339</v>
      </c>
    </row>
    <row r="22" spans="1:16" x14ac:dyDescent="0.6">
      <c r="A22" t="s">
        <v>34</v>
      </c>
      <c r="B22" s="2">
        <v>9.1700000000000004E-9</v>
      </c>
      <c r="C22" s="2">
        <v>1.37E-7</v>
      </c>
      <c r="D22">
        <v>8.7000000000000001E-4</v>
      </c>
      <c r="E22">
        <v>3.29E-3</v>
      </c>
      <c r="F22">
        <v>7.7999999999999996E-3</v>
      </c>
      <c r="G22">
        <v>9.3600000000000003E-3</v>
      </c>
      <c r="H22">
        <v>1.5900000000000001E-2</v>
      </c>
      <c r="I22">
        <v>1.9099999999999999E-2</v>
      </c>
      <c r="J22" s="3">
        <v>3.04E-2</v>
      </c>
      <c r="K22">
        <v>6.5699999999999995E-2</v>
      </c>
      <c r="L22">
        <v>0.18</v>
      </c>
      <c r="M22">
        <v>0.32800000000000001</v>
      </c>
      <c r="N22">
        <v>0.38800000000000001</v>
      </c>
      <c r="O22">
        <v>0.44900000000000001</v>
      </c>
      <c r="P22">
        <v>0.94799999999999995</v>
      </c>
    </row>
    <row r="23" spans="1:16" x14ac:dyDescent="0.6">
      <c r="A23" t="s">
        <v>57</v>
      </c>
      <c r="B23">
        <f>1</f>
        <v>1</v>
      </c>
      <c r="C23">
        <f>B23+1</f>
        <v>2</v>
      </c>
      <c r="D23">
        <f t="shared" ref="D23:P23" si="2">C23+1</f>
        <v>3</v>
      </c>
      <c r="E23">
        <f t="shared" si="2"/>
        <v>4</v>
      </c>
      <c r="F23">
        <f t="shared" si="2"/>
        <v>5</v>
      </c>
      <c r="G23">
        <f t="shared" si="2"/>
        <v>6</v>
      </c>
      <c r="H23">
        <f t="shared" si="2"/>
        <v>7</v>
      </c>
      <c r="I23">
        <f t="shared" si="2"/>
        <v>8</v>
      </c>
      <c r="J23" s="3">
        <f t="shared" si="2"/>
        <v>9</v>
      </c>
      <c r="K23">
        <f t="shared" si="2"/>
        <v>10</v>
      </c>
      <c r="L23">
        <f t="shared" si="2"/>
        <v>11</v>
      </c>
      <c r="M23">
        <f t="shared" si="2"/>
        <v>12</v>
      </c>
      <c r="N23">
        <f t="shared" si="2"/>
        <v>13</v>
      </c>
      <c r="O23">
        <f t="shared" si="2"/>
        <v>14</v>
      </c>
      <c r="P23">
        <f t="shared" si="2"/>
        <v>15</v>
      </c>
    </row>
    <row r="24" spans="1:16" x14ac:dyDescent="0.6">
      <c r="A24" t="s">
        <v>56</v>
      </c>
      <c r="B24" s="4">
        <f>B22*15/B23</f>
        <v>1.3755000000000001E-7</v>
      </c>
      <c r="C24" s="4">
        <f t="shared" ref="C24:P24" si="3">C22*15/C23</f>
        <v>1.0274999999999999E-6</v>
      </c>
      <c r="D24" s="4">
        <f t="shared" si="3"/>
        <v>4.3500000000000006E-3</v>
      </c>
      <c r="E24" s="4">
        <f t="shared" si="3"/>
        <v>1.23375E-2</v>
      </c>
      <c r="F24" s="4">
        <f t="shared" si="3"/>
        <v>2.3399999999999997E-2</v>
      </c>
      <c r="G24" s="4">
        <f t="shared" si="3"/>
        <v>2.3400000000000001E-2</v>
      </c>
      <c r="H24" s="4">
        <f t="shared" si="3"/>
        <v>3.4071428571428572E-2</v>
      </c>
      <c r="I24" s="4">
        <f t="shared" si="3"/>
        <v>3.5812499999999997E-2</v>
      </c>
      <c r="J24" s="5">
        <f t="shared" si="3"/>
        <v>5.0666666666666665E-2</v>
      </c>
      <c r="K24" s="4">
        <f t="shared" si="3"/>
        <v>9.8549999999999999E-2</v>
      </c>
      <c r="L24" s="4">
        <f t="shared" si="3"/>
        <v>0.24545454545454543</v>
      </c>
      <c r="M24" s="4">
        <f t="shared" si="3"/>
        <v>0.41</v>
      </c>
      <c r="N24" s="4">
        <f t="shared" si="3"/>
        <v>0.44769230769230772</v>
      </c>
      <c r="O24" s="4">
        <f t="shared" si="3"/>
        <v>0.48107142857142859</v>
      </c>
      <c r="P24" s="4">
        <f t="shared" si="3"/>
        <v>0.94799999999999995</v>
      </c>
    </row>
    <row r="30" spans="1:16" x14ac:dyDescent="0.6">
      <c r="A30" t="s">
        <v>36</v>
      </c>
      <c r="E30" t="s">
        <v>52</v>
      </c>
    </row>
    <row r="31" spans="1:16" x14ac:dyDescent="0.6">
      <c r="A31" t="s">
        <v>58</v>
      </c>
      <c r="B31" s="6">
        <v>2.33E-3</v>
      </c>
      <c r="C31" s="6">
        <v>3.4950000000000002E-2</v>
      </c>
      <c r="E31" t="s">
        <v>58</v>
      </c>
      <c r="F31" s="6">
        <v>1.3755000000000001E-7</v>
      </c>
      <c r="G31" s="6">
        <v>9.1700000000000004E-9</v>
      </c>
    </row>
    <row r="32" spans="1:16" x14ac:dyDescent="0.6">
      <c r="A32" t="s">
        <v>69</v>
      </c>
      <c r="B32" s="6">
        <v>3.8100000000000002E-2</v>
      </c>
      <c r="C32" s="6">
        <v>0.28575</v>
      </c>
      <c r="E32" t="s">
        <v>60</v>
      </c>
      <c r="F32" s="6">
        <v>1.0274999999999999E-6</v>
      </c>
      <c r="G32" s="6">
        <v>1.37E-7</v>
      </c>
    </row>
    <row r="33" spans="1:7" x14ac:dyDescent="0.6">
      <c r="A33" t="s">
        <v>66</v>
      </c>
      <c r="B33" s="6">
        <v>5.3199999999999997E-2</v>
      </c>
      <c r="C33" s="6">
        <v>0.26599999999999996</v>
      </c>
      <c r="E33" t="s">
        <v>59</v>
      </c>
      <c r="F33" s="6">
        <v>4.3500000000000006E-3</v>
      </c>
      <c r="G33" s="6">
        <v>8.7000000000000001E-4</v>
      </c>
    </row>
    <row r="34" spans="1:7" x14ac:dyDescent="0.6">
      <c r="A34" t="s">
        <v>59</v>
      </c>
      <c r="B34" s="6">
        <v>5.8500000000000003E-2</v>
      </c>
      <c r="C34" s="6">
        <v>0.21937500000000001</v>
      </c>
      <c r="E34" t="s">
        <v>65</v>
      </c>
      <c r="F34" s="6">
        <v>1.23375E-2</v>
      </c>
      <c r="G34" s="6">
        <v>3.29E-3</v>
      </c>
    </row>
    <row r="35" spans="1:7" x14ac:dyDescent="0.6">
      <c r="A35" t="s">
        <v>70</v>
      </c>
      <c r="B35" s="6">
        <v>7.3800000000000004E-2</v>
      </c>
      <c r="C35" s="6">
        <v>0.22139999999999999</v>
      </c>
      <c r="E35" t="s">
        <v>63</v>
      </c>
      <c r="F35" s="6">
        <v>2.3399999999999997E-2</v>
      </c>
      <c r="G35" s="6">
        <v>7.7999999999999996E-3</v>
      </c>
    </row>
    <row r="36" spans="1:7" x14ac:dyDescent="0.6">
      <c r="A36" t="s">
        <v>71</v>
      </c>
      <c r="B36" s="6">
        <v>7.5899999999999995E-2</v>
      </c>
      <c r="C36" s="6">
        <v>0.18974999999999997</v>
      </c>
      <c r="E36" t="s">
        <v>66</v>
      </c>
      <c r="F36" s="6">
        <v>2.3400000000000001E-2</v>
      </c>
      <c r="G36" s="6">
        <v>9.3600000000000003E-3</v>
      </c>
    </row>
    <row r="37" spans="1:7" x14ac:dyDescent="0.6">
      <c r="A37" t="s">
        <v>62</v>
      </c>
      <c r="B37" s="6">
        <v>0.152</v>
      </c>
      <c r="C37" s="6">
        <v>0.32571428571428568</v>
      </c>
      <c r="E37" t="s">
        <v>69</v>
      </c>
      <c r="F37" s="6">
        <v>3.4071428571428572E-2</v>
      </c>
      <c r="G37" s="6">
        <v>1.5900000000000001E-2</v>
      </c>
    </row>
    <row r="38" spans="1:7" x14ac:dyDescent="0.6">
      <c r="A38" t="s">
        <v>63</v>
      </c>
      <c r="B38" s="6">
        <v>0.153</v>
      </c>
      <c r="C38" s="6">
        <v>0.28687499999999999</v>
      </c>
      <c r="E38" t="s">
        <v>67</v>
      </c>
      <c r="F38" s="6">
        <v>3.5812499999999997E-2</v>
      </c>
      <c r="G38" s="6">
        <v>1.9099999999999999E-2</v>
      </c>
    </row>
    <row r="39" spans="1:7" x14ac:dyDescent="0.6">
      <c r="A39" t="s">
        <v>60</v>
      </c>
      <c r="B39" s="6">
        <v>0.36899999999999999</v>
      </c>
      <c r="C39" s="6">
        <v>0.61499999999999999</v>
      </c>
      <c r="E39" t="s">
        <v>71</v>
      </c>
      <c r="F39" s="6">
        <v>5.0666666666666665E-2</v>
      </c>
      <c r="G39" s="6">
        <v>3.04E-2</v>
      </c>
    </row>
    <row r="40" spans="1:7" x14ac:dyDescent="0.6">
      <c r="A40" t="s">
        <v>61</v>
      </c>
      <c r="B40" s="6">
        <v>0.497</v>
      </c>
      <c r="C40" s="6">
        <v>0.74550000000000005</v>
      </c>
      <c r="E40" t="s">
        <v>64</v>
      </c>
      <c r="F40" s="6">
        <v>9.8549999999999999E-2</v>
      </c>
      <c r="G40" s="6">
        <v>6.5699999999999995E-2</v>
      </c>
    </row>
    <row r="41" spans="1:7" x14ac:dyDescent="0.6">
      <c r="A41" t="s">
        <v>64</v>
      </c>
      <c r="B41" s="6">
        <v>0.30299999999999999</v>
      </c>
      <c r="C41" s="6">
        <v>0.41318181818181815</v>
      </c>
      <c r="E41" t="s">
        <v>70</v>
      </c>
      <c r="F41" s="6">
        <v>0.24545454545454543</v>
      </c>
      <c r="G41" s="6">
        <v>0.18</v>
      </c>
    </row>
    <row r="42" spans="1:7" x14ac:dyDescent="0.6">
      <c r="A42" t="s">
        <v>67</v>
      </c>
      <c r="B42" s="6">
        <v>0.60499999999999998</v>
      </c>
      <c r="C42" s="6">
        <v>0.75624999999999998</v>
      </c>
      <c r="E42" t="s">
        <v>62</v>
      </c>
      <c r="F42" s="6">
        <v>0.41</v>
      </c>
      <c r="G42" s="6">
        <v>0.32800000000000001</v>
      </c>
    </row>
    <row r="43" spans="1:7" x14ac:dyDescent="0.6">
      <c r="A43" t="s">
        <v>68</v>
      </c>
      <c r="B43" s="6">
        <v>0.82</v>
      </c>
      <c r="C43" s="6">
        <v>0.94615384615384612</v>
      </c>
      <c r="E43" t="s">
        <v>61</v>
      </c>
      <c r="F43" s="6">
        <v>0.44769230769230772</v>
      </c>
      <c r="G43" s="6">
        <v>0.38800000000000001</v>
      </c>
    </row>
    <row r="44" spans="1:7" x14ac:dyDescent="0.6">
      <c r="A44" t="s">
        <v>72</v>
      </c>
      <c r="B44" s="6">
        <v>0.89200000000000002</v>
      </c>
      <c r="C44" s="6">
        <v>0.95571428571428574</v>
      </c>
      <c r="E44" t="s">
        <v>68</v>
      </c>
      <c r="F44" s="6">
        <v>0.48107142857142859</v>
      </c>
      <c r="G44" s="6">
        <v>0.44900000000000001</v>
      </c>
    </row>
    <row r="45" spans="1:7" x14ac:dyDescent="0.6">
      <c r="A45" t="s">
        <v>65</v>
      </c>
      <c r="B45" s="6">
        <v>0.96799999999999997</v>
      </c>
      <c r="C45" s="6">
        <v>0.96799999999999997</v>
      </c>
      <c r="E45" t="s">
        <v>72</v>
      </c>
      <c r="F45" s="6">
        <v>0.94799999999999995</v>
      </c>
      <c r="G45" s="6">
        <v>0.94799999999999995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within-family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Vogl</dc:creator>
  <cp:lastModifiedBy>Susan Parker</cp:lastModifiedBy>
  <dcterms:created xsi:type="dcterms:W3CDTF">2022-08-28T15:10:22Z</dcterms:created>
  <dcterms:modified xsi:type="dcterms:W3CDTF">2023-05-12T14:37:28Z</dcterms:modified>
</cp:coreProperties>
</file>